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pflugerarchitects-my.sharepoint.com/personal/alex_wickes_pflugerarchitects_com/Documents/Projects/21_Midland Immersive Learning/"/>
    </mc:Choice>
  </mc:AlternateContent>
  <xr:revisionPtr revIDLastSave="0" documentId="8_{2B2D6D94-F2A5-4EB0-B70C-89B0C91381CB}" xr6:coauthVersionLast="47" xr6:coauthVersionMax="47" xr10:uidLastSave="{00000000-0000-0000-0000-000000000000}"/>
  <bookViews>
    <workbookView xWindow="-120" yWindow="-120" windowWidth="29040" windowHeight="15720" xr2:uid="{57E58625-0C47-41D9-A29F-585BBD78C0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O7" i="1"/>
  <c r="O10" i="1"/>
  <c r="O11" i="1"/>
  <c r="O13" i="1"/>
  <c r="O18" i="1"/>
  <c r="O22" i="1"/>
  <c r="O25" i="1"/>
  <c r="O28" i="1"/>
  <c r="O30" i="1"/>
  <c r="L25" i="1"/>
  <c r="L27" i="1"/>
  <c r="L24" i="1"/>
  <c r="L22" i="1"/>
  <c r="L30" i="1"/>
  <c r="L28" i="1"/>
  <c r="L14" i="1"/>
  <c r="L13" i="1"/>
  <c r="K3" i="1"/>
  <c r="K4" i="1"/>
  <c r="K5" i="1"/>
  <c r="K2" i="1"/>
  <c r="L3" i="1"/>
  <c r="L4" i="1"/>
  <c r="O4" i="1" s="1"/>
  <c r="L5" i="1"/>
  <c r="L7" i="1"/>
  <c r="L9" i="1"/>
  <c r="O9" i="1" s="1"/>
  <c r="L8" i="1"/>
  <c r="L10" i="1"/>
  <c r="L11" i="1"/>
  <c r="L16" i="1"/>
  <c r="L17" i="1"/>
  <c r="L18" i="1"/>
  <c r="L20" i="1"/>
  <c r="L2" i="1"/>
  <c r="O32" i="1" l="1"/>
</calcChain>
</file>

<file path=xl/sharedStrings.xml><?xml version="1.0" encoding="utf-8"?>
<sst xmlns="http://schemas.openxmlformats.org/spreadsheetml/2006/main" count="110" uniqueCount="82">
  <si>
    <t>Company</t>
  </si>
  <si>
    <t>Technology</t>
  </si>
  <si>
    <t>Desc</t>
  </si>
  <si>
    <t>Considerations</t>
  </si>
  <si>
    <t>Brightness</t>
  </si>
  <si>
    <t>Warranty</t>
  </si>
  <si>
    <t>Space Req</t>
  </si>
  <si>
    <t>Device</t>
  </si>
  <si>
    <t>Content</t>
  </si>
  <si>
    <t>Additional Architecture</t>
  </si>
  <si>
    <t xml:space="preserve">Support </t>
  </si>
  <si>
    <t>Total</t>
  </si>
  <si>
    <t xml:space="preserve">Count </t>
  </si>
  <si>
    <t xml:space="preserve">Cost </t>
  </si>
  <si>
    <t>Elumenati</t>
  </si>
  <si>
    <t>4.5m</t>
  </si>
  <si>
    <t>Immersive Panorama with 5.1 surround sound</t>
  </si>
  <si>
    <t>Requires IDF wiring</t>
  </si>
  <si>
    <t>2 days install and site training, 24 support hours</t>
  </si>
  <si>
    <t>5.0m</t>
  </si>
  <si>
    <t>6.8m</t>
  </si>
  <si>
    <t>Omni Globe</t>
  </si>
  <si>
    <t>Immersive Interactive Sphere</t>
  </si>
  <si>
    <t>KidsJumpTech</t>
  </si>
  <si>
    <t>Mobile Wall</t>
  </si>
  <si>
    <t>mobile comercial wall unit</t>
  </si>
  <si>
    <t>Wall damage due to interaction</t>
  </si>
  <si>
    <t>5000lm</t>
  </si>
  <si>
    <t>2 year warrenty</t>
  </si>
  <si>
    <t>Fixed Wall</t>
  </si>
  <si>
    <t>interactive wall projection</t>
  </si>
  <si>
    <t>Acoustics and dimmable lighting</t>
  </si>
  <si>
    <t>Mobile Floor</t>
  </si>
  <si>
    <t>mobile comercial floor unit</t>
  </si>
  <si>
    <t>Floor Padding needs storage</t>
  </si>
  <si>
    <t>Fixed Floor</t>
  </si>
  <si>
    <t>interactive floor projection</t>
  </si>
  <si>
    <t>5200lm</t>
  </si>
  <si>
    <t>Sandbox</t>
  </si>
  <si>
    <t>Interactive sandbox and table top projection</t>
  </si>
  <si>
    <t>Storage and sink/clean up area</t>
  </si>
  <si>
    <t>6200lm</t>
  </si>
  <si>
    <t>Alive Drawings</t>
  </si>
  <si>
    <t>Scanning kiosk and interactive projection</t>
  </si>
  <si>
    <t>Storage for interactive art supplies</t>
  </si>
  <si>
    <t>Mobile Touch Table</t>
  </si>
  <si>
    <t>65" 4k multi touch</t>
  </si>
  <si>
    <t>Can be used as a kiosk</t>
  </si>
  <si>
    <t>4k touch screen, 0-90deg tilt</t>
  </si>
  <si>
    <t>Fixed Touch Table</t>
  </si>
  <si>
    <t>Can be branded</t>
  </si>
  <si>
    <t>Play Lu</t>
  </si>
  <si>
    <t>Single</t>
  </si>
  <si>
    <t>Single sided Interactive Gym System</t>
  </si>
  <si>
    <t>Need special Wifi privileges and unobstructed view, project surface considerations</t>
  </si>
  <si>
    <t>Duo</t>
  </si>
  <si>
    <t>dual sided Interactive Gym System</t>
  </si>
  <si>
    <t>Mobile</t>
  </si>
  <si>
    <t>mobile Interactive Gym System</t>
  </si>
  <si>
    <t>Everbright</t>
  </si>
  <si>
    <t>8'</t>
  </si>
  <si>
    <t>Z Space</t>
  </si>
  <si>
    <t>Single Laptop</t>
  </si>
  <si>
    <t>AR Laptop with pen</t>
  </si>
  <si>
    <t>Sold in bundles (est is 10 devices). Needs special network permissions. Software is a yearly license (est at 5 years)</t>
  </si>
  <si>
    <t>Looking Glass</t>
  </si>
  <si>
    <t>16"</t>
  </si>
  <si>
    <t>Augmented Reality Monitor</t>
  </si>
  <si>
    <t>Need to ID programes inteded to use with</t>
  </si>
  <si>
    <t>27"</t>
  </si>
  <si>
    <t>Can be used as a teaching tool for software and media development</t>
  </si>
  <si>
    <t>32"</t>
  </si>
  <si>
    <t>na</t>
  </si>
  <si>
    <t>65"</t>
  </si>
  <si>
    <t>VXR Labs</t>
  </si>
  <si>
    <t>Meta Quest and content subscription</t>
  </si>
  <si>
    <t>50ct 128gb Meta Quest 3 and 3 years content</t>
  </si>
  <si>
    <t>Suite of educational lessons and tools. Need storage and other tools</t>
  </si>
  <si>
    <t>Quiver Vision</t>
  </si>
  <si>
    <t>AR Worksheets and device application</t>
  </si>
  <si>
    <t>350+ AR sheets
110+ Activity Plans
6 Teacher Logins</t>
  </si>
  <si>
    <t>Subscription service, there is no architecutral imact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</si>
</sst>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onsolas"/>
      <family val="3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64" fontId="0" fillId="0" borderId="0" xfId="1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1" applyNumberFormat="1" applyFont="1" applyBorder="1" applyAlignment="1">
      <alignment horizontal="left" vertical="top" wrapText="1"/>
    </xf>
    <xf numFmtId="164" fontId="0" fillId="0" borderId="3" xfId="1" applyNumberFormat="1" applyFont="1" applyBorder="1" applyAlignment="1">
      <alignment horizontal="left" vertical="top" wrapText="1"/>
    </xf>
    <xf numFmtId="164" fontId="0" fillId="0" borderId="0" xfId="1" applyNumberFormat="1" applyFont="1" applyBorder="1" applyAlignment="1">
      <alignment horizontal="left" vertical="top" wrapText="1"/>
    </xf>
    <xf numFmtId="164" fontId="0" fillId="0" borderId="5" xfId="1" applyNumberFormat="1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1" applyNumberFormat="1" applyFont="1" applyBorder="1" applyAlignment="1">
      <alignment horizontal="left" vertical="top" wrapText="1"/>
    </xf>
    <xf numFmtId="164" fontId="0" fillId="0" borderId="8" xfId="1" applyNumberFormat="1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64" fontId="0" fillId="0" borderId="10" xfId="1" applyNumberFormat="1" applyFont="1" applyBorder="1" applyAlignment="1">
      <alignment horizontal="left" vertical="top" wrapText="1"/>
    </xf>
    <xf numFmtId="164" fontId="0" fillId="0" borderId="11" xfId="1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left" vertical="top" wrapText="1"/>
    </xf>
    <xf numFmtId="164" fontId="3" fillId="0" borderId="7" xfId="1" applyNumberFormat="1" applyFont="1" applyBorder="1" applyAlignment="1">
      <alignment horizontal="left" vertical="top" wrapText="1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left" vertical="top" wrapText="1"/>
    </xf>
    <xf numFmtId="0" fontId="5" fillId="0" borderId="9" xfId="2" applyBorder="1" applyAlignment="1">
      <alignment horizontal="left" vertical="top" wrapText="1"/>
    </xf>
    <xf numFmtId="0" fontId="5" fillId="0" borderId="1" xfId="2" applyBorder="1" applyAlignment="1">
      <alignment horizontal="left" vertical="top" wrapText="1"/>
    </xf>
    <xf numFmtId="0" fontId="5" fillId="0" borderId="4" xfId="2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 wrapText="1"/>
    </xf>
    <xf numFmtId="0" fontId="5" fillId="0" borderId="6" xfId="2" applyBorder="1" applyAlignment="1">
      <alignment horizontal="left" vertical="top" wrapText="1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164" fontId="6" fillId="0" borderId="0" xfId="1" applyNumberFormat="1" applyFont="1" applyAlignment="1">
      <alignment wrapText="1"/>
    </xf>
    <xf numFmtId="0" fontId="6" fillId="0" borderId="0" xfId="0" applyFont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ctoryvr.myshopify.com/products/silver-tier-k-12-classroom-bundle-copy" TargetMode="External"/><Relationship Id="rId3" Type="http://schemas.openxmlformats.org/officeDocument/2006/relationships/hyperlink" Target="https://kidsjumptech.com/" TargetMode="External"/><Relationship Id="rId7" Type="http://schemas.openxmlformats.org/officeDocument/2006/relationships/hyperlink" Target="https://lookingglassfactory.com/looking-glass-27" TargetMode="External"/><Relationship Id="rId2" Type="http://schemas.openxmlformats.org/officeDocument/2006/relationships/hyperlink" Target="https://www.elumenati.com/" TargetMode="External"/><Relationship Id="rId1" Type="http://schemas.openxmlformats.org/officeDocument/2006/relationships/hyperlink" Target="https://quivervision.com/subscribe/education" TargetMode="External"/><Relationship Id="rId6" Type="http://schemas.openxmlformats.org/officeDocument/2006/relationships/hyperlink" Target="https://zspace.com/" TargetMode="External"/><Relationship Id="rId5" Type="http://schemas.openxmlformats.org/officeDocument/2006/relationships/hyperlink" Target="https://theeverbright.com/" TargetMode="External"/><Relationship Id="rId4" Type="http://schemas.openxmlformats.org/officeDocument/2006/relationships/hyperlink" Target="https://play-lu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5465-F138-41F7-BFA9-2F063C42E2E9}">
  <dimension ref="A1:O32"/>
  <sheetViews>
    <sheetView tabSelected="1" topLeftCell="A22" workbookViewId="0">
      <selection activeCell="F26" sqref="F26"/>
    </sheetView>
  </sheetViews>
  <sheetFormatPr defaultRowHeight="15"/>
  <cols>
    <col min="1" max="1" width="13.85546875" style="4" bestFit="1" customWidth="1"/>
    <col min="2" max="2" width="14" style="2" customWidth="1"/>
    <col min="3" max="3" width="22.140625" style="2" customWidth="1"/>
    <col min="4" max="5" width="28.7109375" style="2" customWidth="1"/>
    <col min="6" max="6" width="20.7109375" style="2" customWidth="1"/>
    <col min="7" max="7" width="9.140625" style="2"/>
    <col min="8" max="8" width="15.140625" style="22" bestFit="1" customWidth="1"/>
    <col min="9" max="9" width="10.85546875" style="22" bestFit="1" customWidth="1"/>
    <col min="10" max="10" width="20.5703125" style="22" bestFit="1" customWidth="1"/>
    <col min="11" max="11" width="20.28515625" style="22" customWidth="1"/>
    <col min="12" max="12" width="14.42578125" style="22" customWidth="1"/>
    <col min="13" max="14" width="9.140625" style="1"/>
    <col min="15" max="15" width="12" style="28" bestFit="1" customWidth="1"/>
    <col min="16" max="16384" width="9.140625" style="1"/>
  </cols>
  <sheetData>
    <row r="1" spans="1:15" ht="38.25" thickBo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N1" s="21" t="s">
        <v>12</v>
      </c>
      <c r="O1" s="21" t="s">
        <v>13</v>
      </c>
    </row>
    <row r="2" spans="1:15" ht="45">
      <c r="A2" s="24" t="s">
        <v>14</v>
      </c>
      <c r="B2" s="5" t="s">
        <v>15</v>
      </c>
      <c r="C2" s="5" t="s">
        <v>16</v>
      </c>
      <c r="D2" s="5" t="s">
        <v>17</v>
      </c>
      <c r="E2" s="5"/>
      <c r="F2" s="5" t="s">
        <v>18</v>
      </c>
      <c r="G2" s="5">
        <v>800</v>
      </c>
      <c r="H2" s="6">
        <v>85900</v>
      </c>
      <c r="I2" s="6">
        <v>7600</v>
      </c>
      <c r="J2" s="6">
        <v>80000</v>
      </c>
      <c r="K2" s="6">
        <f>7500+5000</f>
        <v>12500</v>
      </c>
      <c r="L2" s="7">
        <f>H2+I2+J2</f>
        <v>173500</v>
      </c>
    </row>
    <row r="3" spans="1:15" ht="45">
      <c r="A3" s="16"/>
      <c r="B3" s="2" t="s">
        <v>19</v>
      </c>
      <c r="C3" s="2" t="s">
        <v>16</v>
      </c>
      <c r="D3" s="2" t="s">
        <v>17</v>
      </c>
      <c r="F3" s="2" t="s">
        <v>18</v>
      </c>
      <c r="G3" s="2">
        <v>800</v>
      </c>
      <c r="H3" s="8">
        <v>86900</v>
      </c>
      <c r="I3" s="8">
        <v>7600</v>
      </c>
      <c r="J3" s="8">
        <v>80000</v>
      </c>
      <c r="K3" s="8">
        <f t="shared" ref="K3:K5" si="0">7500+5000</f>
        <v>12500</v>
      </c>
      <c r="L3" s="9">
        <f>H3+I3+J3</f>
        <v>174500</v>
      </c>
    </row>
    <row r="4" spans="1:15" ht="45">
      <c r="A4" s="16"/>
      <c r="B4" s="2" t="s">
        <v>20</v>
      </c>
      <c r="C4" s="2" t="s">
        <v>16</v>
      </c>
      <c r="D4" s="2" t="s">
        <v>17</v>
      </c>
      <c r="F4" s="2" t="s">
        <v>18</v>
      </c>
      <c r="G4" s="2">
        <v>800</v>
      </c>
      <c r="H4" s="8">
        <v>100900</v>
      </c>
      <c r="I4" s="8">
        <v>7600</v>
      </c>
      <c r="J4" s="8">
        <v>80000</v>
      </c>
      <c r="K4" s="8">
        <f t="shared" si="0"/>
        <v>12500</v>
      </c>
      <c r="L4" s="9">
        <f>H4+I4+J4</f>
        <v>188500</v>
      </c>
      <c r="N4" s="1">
        <v>1</v>
      </c>
      <c r="O4" s="29">
        <f>L4*N4</f>
        <v>188500</v>
      </c>
    </row>
    <row r="5" spans="1:15" ht="45.75" thickBot="1">
      <c r="A5" s="17"/>
      <c r="B5" s="10" t="s">
        <v>21</v>
      </c>
      <c r="C5" s="10" t="s">
        <v>22</v>
      </c>
      <c r="D5" s="10" t="s">
        <v>17</v>
      </c>
      <c r="E5" s="10"/>
      <c r="F5" s="10" t="s">
        <v>18</v>
      </c>
      <c r="G5" s="10">
        <v>100</v>
      </c>
      <c r="H5" s="11"/>
      <c r="I5" s="11">
        <v>7600</v>
      </c>
      <c r="J5" s="11">
        <v>25000</v>
      </c>
      <c r="K5" s="11">
        <f t="shared" si="0"/>
        <v>12500</v>
      </c>
      <c r="L5" s="12">
        <f>H5+I5+J5</f>
        <v>32600</v>
      </c>
    </row>
    <row r="6" spans="1:15" ht="15.75" thickBot="1">
      <c r="H6" s="3"/>
      <c r="I6" s="3"/>
      <c r="J6" s="3"/>
      <c r="K6" s="3"/>
      <c r="L6" s="3"/>
    </row>
    <row r="7" spans="1:15" ht="30">
      <c r="A7" s="24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>
        <v>400</v>
      </c>
      <c r="H7" s="6">
        <v>12940</v>
      </c>
      <c r="I7" s="6">
        <v>0</v>
      </c>
      <c r="J7" s="6">
        <v>250</v>
      </c>
      <c r="K7" s="6"/>
      <c r="L7" s="7">
        <f t="shared" ref="L7:L14" si="1">H7+I7+J7</f>
        <v>13190</v>
      </c>
      <c r="N7" s="1">
        <v>3</v>
      </c>
      <c r="O7" s="29">
        <f>L7*N7</f>
        <v>39570</v>
      </c>
    </row>
    <row r="8" spans="1:15" ht="30">
      <c r="A8" s="16"/>
      <c r="B8" s="2" t="s">
        <v>29</v>
      </c>
      <c r="C8" s="2" t="s">
        <v>30</v>
      </c>
      <c r="D8" s="2" t="s">
        <v>31</v>
      </c>
      <c r="E8" s="2" t="s">
        <v>27</v>
      </c>
      <c r="F8" s="2" t="s">
        <v>28</v>
      </c>
      <c r="G8" s="2">
        <v>400</v>
      </c>
      <c r="H8" s="8">
        <v>8999</v>
      </c>
      <c r="I8" s="8">
        <v>0</v>
      </c>
      <c r="J8" s="8">
        <v>5000</v>
      </c>
      <c r="K8" s="8"/>
      <c r="L8" s="9">
        <f>H8+I8+J8</f>
        <v>13999</v>
      </c>
    </row>
    <row r="9" spans="1:15" ht="30">
      <c r="A9" s="16"/>
      <c r="B9" s="2" t="s">
        <v>32</v>
      </c>
      <c r="C9" s="2" t="s">
        <v>33</v>
      </c>
      <c r="D9" s="2" t="s">
        <v>34</v>
      </c>
      <c r="E9" s="2" t="s">
        <v>27</v>
      </c>
      <c r="F9" s="2" t="s">
        <v>28</v>
      </c>
      <c r="G9" s="2">
        <v>400</v>
      </c>
      <c r="H9" s="8">
        <v>14835</v>
      </c>
      <c r="I9" s="8">
        <v>0</v>
      </c>
      <c r="J9" s="8">
        <v>250</v>
      </c>
      <c r="K9" s="8"/>
      <c r="L9" s="9">
        <f>H9+I9+J9</f>
        <v>15085</v>
      </c>
      <c r="N9" s="1">
        <v>3</v>
      </c>
      <c r="O9" s="29">
        <f>L9*N9</f>
        <v>45255</v>
      </c>
    </row>
    <row r="10" spans="1:15" ht="30">
      <c r="A10" s="16"/>
      <c r="B10" s="2" t="s">
        <v>35</v>
      </c>
      <c r="C10" s="2" t="s">
        <v>36</v>
      </c>
      <c r="D10" s="2" t="s">
        <v>31</v>
      </c>
      <c r="E10" s="2" t="s">
        <v>37</v>
      </c>
      <c r="F10" s="2" t="s">
        <v>28</v>
      </c>
      <c r="G10" s="2">
        <v>400</v>
      </c>
      <c r="H10" s="8">
        <v>6999</v>
      </c>
      <c r="I10" s="8">
        <v>0</v>
      </c>
      <c r="J10" s="8">
        <v>5000</v>
      </c>
      <c r="K10" s="8"/>
      <c r="L10" s="9">
        <f t="shared" si="1"/>
        <v>11999</v>
      </c>
      <c r="N10" s="1">
        <v>3</v>
      </c>
      <c r="O10" s="29">
        <f>L10*N10</f>
        <v>35997</v>
      </c>
    </row>
    <row r="11" spans="1:15" ht="45">
      <c r="A11" s="16"/>
      <c r="B11" s="2" t="s">
        <v>38</v>
      </c>
      <c r="C11" s="2" t="s">
        <v>39</v>
      </c>
      <c r="D11" s="2" t="s">
        <v>40</v>
      </c>
      <c r="E11" s="2" t="s">
        <v>41</v>
      </c>
      <c r="F11" s="2" t="s">
        <v>28</v>
      </c>
      <c r="G11" s="2">
        <v>200</v>
      </c>
      <c r="H11" s="19">
        <v>16999</v>
      </c>
      <c r="I11" s="8">
        <v>0</v>
      </c>
      <c r="J11" s="8">
        <v>2000</v>
      </c>
      <c r="K11" s="8"/>
      <c r="L11" s="9">
        <f t="shared" si="1"/>
        <v>18999</v>
      </c>
      <c r="N11" s="1">
        <v>1</v>
      </c>
      <c r="O11" s="29">
        <f>L11*N11</f>
        <v>18999</v>
      </c>
    </row>
    <row r="12" spans="1:15" ht="30">
      <c r="A12" s="16"/>
      <c r="B12" s="2" t="s">
        <v>42</v>
      </c>
      <c r="C12" s="2" t="s">
        <v>43</v>
      </c>
      <c r="D12" s="2" t="s">
        <v>44</v>
      </c>
      <c r="F12" s="2" t="s">
        <v>28</v>
      </c>
      <c r="G12" s="2">
        <v>800</v>
      </c>
      <c r="H12" s="19"/>
      <c r="I12" s="8"/>
      <c r="J12" s="8"/>
      <c r="K12" s="8"/>
      <c r="L12" s="9"/>
    </row>
    <row r="13" spans="1:15" ht="30">
      <c r="A13" s="16"/>
      <c r="B13" s="2" t="s">
        <v>45</v>
      </c>
      <c r="C13" s="2" t="s">
        <v>46</v>
      </c>
      <c r="D13" s="2" t="s">
        <v>47</v>
      </c>
      <c r="E13" s="2" t="s">
        <v>48</v>
      </c>
      <c r="F13" s="2" t="s">
        <v>28</v>
      </c>
      <c r="G13" s="2">
        <v>200</v>
      </c>
      <c r="H13" s="19">
        <v>7699</v>
      </c>
      <c r="I13" s="8">
        <v>0</v>
      </c>
      <c r="J13" s="8">
        <v>1000</v>
      </c>
      <c r="K13" s="8"/>
      <c r="L13" s="9">
        <f t="shared" si="1"/>
        <v>8699</v>
      </c>
      <c r="N13" s="1">
        <v>2</v>
      </c>
      <c r="O13" s="29">
        <f>L13*N13</f>
        <v>17398</v>
      </c>
    </row>
    <row r="14" spans="1:15" ht="30.75" thickBot="1">
      <c r="A14" s="17"/>
      <c r="B14" s="10" t="s">
        <v>49</v>
      </c>
      <c r="C14" s="10" t="s">
        <v>46</v>
      </c>
      <c r="D14" s="10" t="s">
        <v>50</v>
      </c>
      <c r="E14" s="10" t="s">
        <v>48</v>
      </c>
      <c r="F14" s="10" t="s">
        <v>28</v>
      </c>
      <c r="G14" s="10">
        <v>200</v>
      </c>
      <c r="H14" s="20">
        <v>7699</v>
      </c>
      <c r="I14" s="11">
        <v>0</v>
      </c>
      <c r="J14" s="11">
        <v>1000</v>
      </c>
      <c r="K14" s="11"/>
      <c r="L14" s="12">
        <f t="shared" si="1"/>
        <v>8699</v>
      </c>
    </row>
    <row r="15" spans="1:15" ht="15.75" thickBot="1">
      <c r="H15" s="3"/>
      <c r="I15" s="3"/>
      <c r="J15" s="3"/>
      <c r="K15" s="3"/>
      <c r="L15" s="3"/>
    </row>
    <row r="16" spans="1:15" ht="45">
      <c r="A16" s="24" t="s">
        <v>51</v>
      </c>
      <c r="B16" s="5" t="s">
        <v>52</v>
      </c>
      <c r="C16" s="5" t="s">
        <v>53</v>
      </c>
      <c r="D16" s="5" t="s">
        <v>54</v>
      </c>
      <c r="E16" s="5"/>
      <c r="F16" s="5"/>
      <c r="G16" s="5">
        <v>900</v>
      </c>
      <c r="H16" s="6">
        <v>35000</v>
      </c>
      <c r="I16" s="6">
        <v>7600</v>
      </c>
      <c r="J16" s="6">
        <v>5000</v>
      </c>
      <c r="K16" s="6"/>
      <c r="L16" s="7">
        <f>H16+I16+J16</f>
        <v>47600</v>
      </c>
    </row>
    <row r="17" spans="1:15" ht="45">
      <c r="A17" s="16"/>
      <c r="B17" s="2" t="s">
        <v>55</v>
      </c>
      <c r="C17" s="2" t="s">
        <v>56</v>
      </c>
      <c r="D17" s="2" t="s">
        <v>54</v>
      </c>
      <c r="G17" s="2">
        <v>1800</v>
      </c>
      <c r="H17" s="8">
        <v>65000</v>
      </c>
      <c r="I17" s="8">
        <v>7600</v>
      </c>
      <c r="J17" s="8">
        <v>5000</v>
      </c>
      <c r="K17" s="8"/>
      <c r="L17" s="9">
        <f>H17+I17+J17</f>
        <v>77600</v>
      </c>
    </row>
    <row r="18" spans="1:15" ht="45.75" thickBot="1">
      <c r="A18" s="17"/>
      <c r="B18" s="10" t="s">
        <v>57</v>
      </c>
      <c r="C18" s="10" t="s">
        <v>58</v>
      </c>
      <c r="D18" s="10" t="s">
        <v>54</v>
      </c>
      <c r="E18" s="10"/>
      <c r="F18" s="10"/>
      <c r="G18" s="10">
        <v>900</v>
      </c>
      <c r="H18" s="11">
        <v>40000</v>
      </c>
      <c r="I18" s="11">
        <v>7600</v>
      </c>
      <c r="J18" s="11">
        <v>1000</v>
      </c>
      <c r="K18" s="11"/>
      <c r="L18" s="12">
        <f>H18+I18+J18</f>
        <v>48600</v>
      </c>
      <c r="N18" s="1">
        <v>3</v>
      </c>
      <c r="O18" s="29">
        <f>L16*N18</f>
        <v>142800</v>
      </c>
    </row>
    <row r="19" spans="1:15" ht="15.75" thickBot="1">
      <c r="L19" s="3"/>
    </row>
    <row r="20" spans="1:15" ht="15.75" thickBot="1">
      <c r="A20" s="23" t="s">
        <v>59</v>
      </c>
      <c r="B20" s="13" t="s">
        <v>60</v>
      </c>
      <c r="C20" s="13"/>
      <c r="D20" s="13"/>
      <c r="E20" s="13"/>
      <c r="F20" s="13"/>
      <c r="G20" s="13"/>
      <c r="H20" s="14">
        <v>16000</v>
      </c>
      <c r="I20" s="14">
        <v>0</v>
      </c>
      <c r="J20" s="14">
        <v>2000</v>
      </c>
      <c r="K20" s="14"/>
      <c r="L20" s="15">
        <f>H20+I20+J20</f>
        <v>18000</v>
      </c>
    </row>
    <row r="21" spans="1:15" ht="15.75" thickBot="1"/>
    <row r="22" spans="1:15" ht="75.75" thickBot="1">
      <c r="A22" s="23" t="s">
        <v>61</v>
      </c>
      <c r="B22" s="13" t="s">
        <v>62</v>
      </c>
      <c r="C22" s="13" t="s">
        <v>63</v>
      </c>
      <c r="D22" s="13" t="s">
        <v>64</v>
      </c>
      <c r="E22" s="13"/>
      <c r="F22" s="13"/>
      <c r="G22" s="13"/>
      <c r="H22" s="14">
        <v>4999</v>
      </c>
      <c r="I22" s="14">
        <v>5000</v>
      </c>
      <c r="J22" s="14">
        <v>250</v>
      </c>
      <c r="K22" s="14"/>
      <c r="L22" s="15">
        <f>(H22+I22+J22)*10</f>
        <v>102490</v>
      </c>
      <c r="N22" s="1">
        <v>1</v>
      </c>
      <c r="O22" s="29">
        <f>L22*N22</f>
        <v>102490</v>
      </c>
    </row>
    <row r="23" spans="1:15" ht="15.75" thickBot="1">
      <c r="O23" s="29"/>
    </row>
    <row r="24" spans="1:15" ht="30">
      <c r="A24" s="24" t="s">
        <v>65</v>
      </c>
      <c r="B24" s="5" t="s">
        <v>66</v>
      </c>
      <c r="C24" s="5" t="s">
        <v>67</v>
      </c>
      <c r="D24" s="5" t="s">
        <v>68</v>
      </c>
      <c r="E24" s="5"/>
      <c r="F24" s="5"/>
      <c r="G24" s="5"/>
      <c r="H24" s="6">
        <v>3000</v>
      </c>
      <c r="I24" s="6">
        <v>0</v>
      </c>
      <c r="J24" s="6">
        <v>500</v>
      </c>
      <c r="K24" s="6"/>
      <c r="L24" s="7">
        <f>H24+I24+J24</f>
        <v>3500</v>
      </c>
    </row>
    <row r="25" spans="1:15" ht="45">
      <c r="A25" s="25"/>
      <c r="B25" s="2" t="s">
        <v>69</v>
      </c>
      <c r="C25" s="2" t="s">
        <v>67</v>
      </c>
      <c r="D25" s="2" t="s">
        <v>70</v>
      </c>
      <c r="H25" s="8">
        <v>10000</v>
      </c>
      <c r="I25" s="8">
        <v>0</v>
      </c>
      <c r="J25" s="8">
        <v>500</v>
      </c>
      <c r="K25" s="8"/>
      <c r="L25" s="9">
        <f t="shared" ref="L25:L27" si="2">H25+I25+J25</f>
        <v>10500</v>
      </c>
      <c r="N25" s="1">
        <v>10</v>
      </c>
      <c r="O25" s="29">
        <f>L25*N25</f>
        <v>105000</v>
      </c>
    </row>
    <row r="26" spans="1:15" ht="29.25">
      <c r="A26" s="16"/>
      <c r="B26" s="2" t="s">
        <v>71</v>
      </c>
      <c r="C26" s="2" t="s">
        <v>67</v>
      </c>
      <c r="H26" s="8" t="s">
        <v>72</v>
      </c>
      <c r="I26" s="8">
        <v>0</v>
      </c>
      <c r="J26" s="8">
        <v>500</v>
      </c>
      <c r="K26" s="8"/>
      <c r="L26" s="9" t="e">
        <f>H26+I26+J26</f>
        <v>#VALUE!</v>
      </c>
    </row>
    <row r="27" spans="1:15" ht="30.75" thickBot="1">
      <c r="A27" s="17"/>
      <c r="B27" s="10" t="s">
        <v>73</v>
      </c>
      <c r="C27" s="10" t="s">
        <v>67</v>
      </c>
      <c r="D27" s="10"/>
      <c r="E27" s="10"/>
      <c r="F27" s="10"/>
      <c r="G27" s="10"/>
      <c r="H27" s="26" t="s">
        <v>72</v>
      </c>
      <c r="I27" s="26">
        <v>0</v>
      </c>
      <c r="J27" s="26">
        <v>500</v>
      </c>
      <c r="K27" s="26"/>
      <c r="L27" s="12" t="e">
        <f t="shared" si="2"/>
        <v>#VALUE!</v>
      </c>
    </row>
    <row r="28" spans="1:15" ht="43.5">
      <c r="A28" s="27" t="s">
        <v>74</v>
      </c>
      <c r="B28" s="10" t="s">
        <v>75</v>
      </c>
      <c r="C28" s="10" t="s">
        <v>76</v>
      </c>
      <c r="D28" s="10" t="s">
        <v>77</v>
      </c>
      <c r="E28" s="10" t="s">
        <v>72</v>
      </c>
      <c r="F28" s="10"/>
      <c r="G28" s="10"/>
      <c r="H28" s="11">
        <v>41875</v>
      </c>
      <c r="I28" s="11">
        <v>0</v>
      </c>
      <c r="J28" s="11">
        <v>12000</v>
      </c>
      <c r="K28" s="11"/>
      <c r="L28" s="12">
        <f>H28+I28+J28</f>
        <v>53875</v>
      </c>
      <c r="N28" s="1">
        <v>1</v>
      </c>
      <c r="O28" s="29">
        <f>L28*N28</f>
        <v>53875</v>
      </c>
    </row>
    <row r="29" spans="1:15" ht="15.75" thickBot="1">
      <c r="O29" s="29"/>
    </row>
    <row r="30" spans="1:15" ht="60.75" thickBot="1">
      <c r="A30" s="23" t="s">
        <v>78</v>
      </c>
      <c r="B30" s="13" t="s">
        <v>79</v>
      </c>
      <c r="C30" s="13" t="s">
        <v>80</v>
      </c>
      <c r="D30" s="13" t="s">
        <v>81</v>
      </c>
      <c r="E30" s="13"/>
      <c r="F30" s="13"/>
      <c r="G30" s="13"/>
      <c r="H30" s="14">
        <v>300</v>
      </c>
      <c r="I30" s="14">
        <v>0</v>
      </c>
      <c r="J30" s="14">
        <v>0</v>
      </c>
      <c r="K30" s="14">
        <v>0</v>
      </c>
      <c r="L30" s="15">
        <f>H30+I30+J30</f>
        <v>300</v>
      </c>
      <c r="N30" s="1">
        <v>1</v>
      </c>
      <c r="O30" s="29">
        <f>L30*N30</f>
        <v>300</v>
      </c>
    </row>
    <row r="31" spans="1:15">
      <c r="O31" s="29"/>
    </row>
    <row r="32" spans="1:15" ht="15.75">
      <c r="M32" s="31" t="s">
        <v>11</v>
      </c>
      <c r="N32" s="31"/>
      <c r="O32" s="30">
        <f>SUM(O1:O30)</f>
        <v>750184</v>
      </c>
    </row>
  </sheetData>
  <mergeCells count="1">
    <mergeCell ref="M32:N32"/>
  </mergeCells>
  <hyperlinks>
    <hyperlink ref="A30" r:id="rId1" location="pricing" xr:uid="{87CFAE80-D3DB-46C1-AA1E-74B070D22B24}"/>
    <hyperlink ref="A2" r:id="rId2" xr:uid="{79A54615-78A7-40A1-B58B-0420B83F3CFA}"/>
    <hyperlink ref="A7" r:id="rId3" xr:uid="{C8362D12-0E84-4417-B027-EE7555D86FEF}"/>
    <hyperlink ref="A16" r:id="rId4" xr:uid="{C9DCAAFF-E2CF-4D4B-AEAE-F3925EFDE792}"/>
    <hyperlink ref="A20" r:id="rId5" xr:uid="{ACD56BF2-7234-4F9C-AF92-D1FAE65AD72A}"/>
    <hyperlink ref="A22" r:id="rId6" xr:uid="{EC2212E5-B384-4B82-8EA7-97729FDBD0C3}"/>
    <hyperlink ref="A24" r:id="rId7" xr:uid="{6928CA2A-4332-49FC-A9CD-A7977703390C}"/>
    <hyperlink ref="A28" r:id="rId8" xr:uid="{758E866B-A43A-42DA-8A49-EBE5F8E86F52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Wickes</dc:creator>
  <cp:keywords/>
  <dc:description/>
  <cp:lastModifiedBy/>
  <cp:revision/>
  <dcterms:created xsi:type="dcterms:W3CDTF">2025-05-15T20:02:45Z</dcterms:created>
  <dcterms:modified xsi:type="dcterms:W3CDTF">2025-12-23T15:21:55Z</dcterms:modified>
  <cp:category/>
  <cp:contentStatus/>
</cp:coreProperties>
</file>